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iwesthcac.sharepoint.com/teams/Facilities/Shared Documents/Distribution/02. Distribution Vendors/DataMatx/"/>
    </mc:Choice>
  </mc:AlternateContent>
  <xr:revisionPtr revIDLastSave="0" documentId="8_{67E3A9D7-8EE4-4FCE-8BCC-36BE8F106BC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lient Setup" sheetId="1" r:id="rId1"/>
    <sheet name="Contacts" sheetId="12" r:id="rId2"/>
  </sheets>
  <definedNames>
    <definedName name="_xlnm.Print_Titles" localSheetId="0">'Client Setup'!$1:$9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2" l="1"/>
  <c r="A4" i="12"/>
  <c r="A3" i="12"/>
  <c r="A2" i="12"/>
</calcChain>
</file>

<file path=xl/sharedStrings.xml><?xml version="1.0" encoding="utf-8"?>
<sst xmlns="http://schemas.openxmlformats.org/spreadsheetml/2006/main" count="258" uniqueCount="226">
  <si>
    <t>DATAMATX PROGRAM AND DEVELOPMENT CHECKLIST</t>
  </si>
  <si>
    <t>Client Name: (auto to whomever is requesting)</t>
  </si>
  <si>
    <t>Business Unit:</t>
  </si>
  <si>
    <t>Project Name (letter name): Mil Connect</t>
  </si>
  <si>
    <t>Client Services:  Account Mgr:  TJ Jeffries; Backup Account Mgr:  Jeffrey Rogers;  Director of Client Svcs:  Gabi Peck</t>
  </si>
  <si>
    <t>Programmers:   Rasta Ahmady; Director of Programming: Marc Fayard</t>
  </si>
  <si>
    <t>DX</t>
  </si>
  <si>
    <t xml:space="preserve">Group Email: </t>
  </si>
  <si>
    <t>Checklist Storage: G/Projects/ClientName/ClientSetup</t>
  </si>
  <si>
    <t>Getting to Know You</t>
  </si>
  <si>
    <t>G1</t>
  </si>
  <si>
    <t>Project Points of Contact (other than the requester)</t>
  </si>
  <si>
    <t>Zoe Rondeau (PoC) - See Contact List Tab</t>
  </si>
  <si>
    <t>Multi Select People Picker (process will need to include email and name)</t>
  </si>
  <si>
    <t>G2</t>
  </si>
  <si>
    <t>Establish times and dates for follow-up meetings</t>
  </si>
  <si>
    <t>Every Tuesday @ 2pm Eastern</t>
  </si>
  <si>
    <t>Getting to Know Your Project</t>
  </si>
  <si>
    <t>K2</t>
  </si>
  <si>
    <r>
      <t>What are the names for the application(s) to be setup?  (</t>
    </r>
    <r>
      <rPr>
        <i/>
        <sz val="11"/>
        <rFont val="Calibri"/>
        <family val="2"/>
        <scheme val="minor"/>
      </rPr>
      <t xml:space="preserve">in order of </t>
    </r>
    <r>
      <rPr>
        <b/>
        <i/>
        <sz val="11"/>
        <rFont val="Calibri"/>
        <family val="2"/>
        <scheme val="minor"/>
      </rPr>
      <t>priority</t>
    </r>
    <r>
      <rPr>
        <b/>
        <sz val="11"/>
        <rFont val="Calibri"/>
        <family val="2"/>
        <scheme val="minor"/>
      </rPr>
      <t>)</t>
    </r>
  </si>
  <si>
    <t>Various</t>
  </si>
  <si>
    <t>K3</t>
  </si>
  <si>
    <t>What is the proposed "Go Live" date for each application?</t>
  </si>
  <si>
    <t>11/3/2024 - Tentative</t>
  </si>
  <si>
    <t>Calendar</t>
  </si>
  <si>
    <t>K4</t>
  </si>
  <si>
    <t>How often will this application run?  monthly/weekly/bi-weekly/annual/on-demand</t>
  </si>
  <si>
    <t>11M/Daily</t>
  </si>
  <si>
    <t>Drop Down (daily/weekly/Bi-weekly/Monthly/quarterly/annually/On Demand</t>
  </si>
  <si>
    <t>K5</t>
  </si>
  <si>
    <t>What is your estimated monthly volume (In Pages)?</t>
  </si>
  <si>
    <t>250M/ Month</t>
  </si>
  <si>
    <t>Range (0-5k; 5k-10k;10k20l=k &gt;20k)</t>
  </si>
  <si>
    <t>What is your estimated monthly volume (In Letter Volume)?</t>
  </si>
  <si>
    <t>K7</t>
  </si>
  <si>
    <t>Which applications are print, email, or text? For email and text, please use the email and fax module.</t>
  </si>
  <si>
    <t>Print and Mail</t>
  </si>
  <si>
    <t>Default Print, but changeable drop down</t>
  </si>
  <si>
    <t>Printing and Mailing Your Files</t>
  </si>
  <si>
    <t>M1</t>
  </si>
  <si>
    <t>Does your application require full color?</t>
  </si>
  <si>
    <t>Black and White</t>
  </si>
  <si>
    <t>Choice between B&amp;W or Color</t>
  </si>
  <si>
    <t>M2</t>
  </si>
  <si>
    <t>Will this application print single sided or double sided?</t>
  </si>
  <si>
    <t>Duplex (Variable)</t>
  </si>
  <si>
    <t>Choice between Single or Double sided</t>
  </si>
  <si>
    <t>M3</t>
  </si>
  <si>
    <t>Will your application have multiple pages?</t>
  </si>
  <si>
    <t>Yes (Variable)</t>
  </si>
  <si>
    <t>Choice Yes, no, or variable</t>
  </si>
  <si>
    <t>M4</t>
  </si>
  <si>
    <t>Will your application require custom paper, backer, and/or perforated paper? If perf, what size perf and where on the page?</t>
  </si>
  <si>
    <t>DX Plain White Paper</t>
  </si>
  <si>
    <t>DX White Paper (Default) only choice</t>
  </si>
  <si>
    <t>I need more data on this to dev a choice.</t>
  </si>
  <si>
    <r>
      <rPr>
        <b/>
        <sz val="11"/>
        <rFont val="Calibri"/>
        <family val="2"/>
        <scheme val="minor"/>
      </rPr>
      <t>Perf Options</t>
    </r>
    <r>
      <rPr>
        <sz val="11"/>
        <rFont val="Calibri"/>
        <family val="2"/>
        <scheme val="minor"/>
      </rPr>
      <t xml:space="preserve">; select size- 3.5 (Yes or No)          </t>
    </r>
  </si>
  <si>
    <t>N/A</t>
  </si>
  <si>
    <t>Yes or no choice</t>
  </si>
  <si>
    <t>M5</t>
  </si>
  <si>
    <t>Will your application use a standard Datamatx #10 envelope? (4 1/8 x 9 1/2)</t>
  </si>
  <si>
    <t>Large Faced Window #10</t>
  </si>
  <si>
    <t>Default to the standard #10 envelope</t>
  </si>
  <si>
    <t>What other choices should I add</t>
  </si>
  <si>
    <t>M6</t>
  </si>
  <si>
    <t>Will your application use a standard Datamatx #9 return envelope? (3 7/8 x 8 7/8)</t>
  </si>
  <si>
    <t>Selective #9 Option</t>
  </si>
  <si>
    <t>Choice - Yes or No</t>
  </si>
  <si>
    <t>M7</t>
  </si>
  <si>
    <t>Will this project have any type of inserts? (Offline, inline)?  If so, Any specific type of inserts used?</t>
  </si>
  <si>
    <t>Possibly at a later date</t>
  </si>
  <si>
    <t>Choice Yes or NO</t>
  </si>
  <si>
    <t>What are the choices I should add</t>
  </si>
  <si>
    <t>M8</t>
  </si>
  <si>
    <t>Does this job require a Proof of Mail (POM) Manifest | IMB Tracking | or Certified Mail? If so, please use the special handling module.</t>
  </si>
  <si>
    <t>Yes - Electronic POM</t>
  </si>
  <si>
    <t>Choice Yes or no</t>
  </si>
  <si>
    <t>Programming Your Project</t>
  </si>
  <si>
    <t>P1</t>
  </si>
  <si>
    <r>
      <t xml:space="preserve">Do you have samples of your </t>
    </r>
    <r>
      <rPr>
        <b/>
        <i/>
        <sz val="11"/>
        <color theme="1"/>
        <rFont val="Calibri"/>
        <family val="2"/>
        <scheme val="minor"/>
      </rPr>
      <t xml:space="preserve">current </t>
    </r>
    <r>
      <rPr>
        <sz val="11"/>
        <color theme="1"/>
        <rFont val="Calibri"/>
        <family val="2"/>
        <scheme val="minor"/>
      </rPr>
      <t xml:space="preserve">mailing documents? paper | envelopes | inserts | additional documents </t>
    </r>
  </si>
  <si>
    <t>Samples Provided/ More Pending</t>
  </si>
  <si>
    <t>Ability to attach samples to the request, Pull and send Data To Dx</t>
  </si>
  <si>
    <t xml:space="preserve"> </t>
  </si>
  <si>
    <t>P2</t>
  </si>
  <si>
    <r>
      <t>Submitted a test file for review? Minimum of 150 unique records - required.  (</t>
    </r>
    <r>
      <rPr>
        <b/>
        <sz val="11"/>
        <rFont val="Calibri"/>
        <family val="2"/>
        <scheme val="minor"/>
      </rPr>
      <t>Test Files should  be uploaded to eTRAX utilizing  "TEST_ " prefix</t>
    </r>
    <r>
      <rPr>
        <sz val="11"/>
        <rFont val="Calibri"/>
        <family val="2"/>
        <scheme val="minor"/>
      </rPr>
      <t>.)</t>
    </r>
  </si>
  <si>
    <t>Pending</t>
  </si>
  <si>
    <t>Can this be a space to add the attachment</t>
  </si>
  <si>
    <t>Get more data on what this is</t>
  </si>
  <si>
    <t>P3</t>
  </si>
  <si>
    <r>
      <t xml:space="preserve">Provided a file layout and data mapping document for analysis?  </t>
    </r>
    <r>
      <rPr>
        <b/>
        <sz val="11"/>
        <rFont val="Calibri"/>
        <family val="2"/>
        <scheme val="minor"/>
      </rPr>
      <t>**Disregard if providing Input PDF**</t>
    </r>
  </si>
  <si>
    <t>Input PDF</t>
  </si>
  <si>
    <t>Do we attach everything that we need</t>
  </si>
  <si>
    <t>P4</t>
  </si>
  <si>
    <r>
      <t xml:space="preserve">Do you have any specific font types or font requirements?    </t>
    </r>
    <r>
      <rPr>
        <b/>
        <sz val="11"/>
        <rFont val="Calibri"/>
        <family val="2"/>
        <scheme val="minor"/>
      </rPr>
      <t>**Disregard if providing Input PDF**</t>
    </r>
    <r>
      <rPr>
        <sz val="11"/>
        <rFont val="Calibri"/>
        <family val="2"/>
        <scheme val="minor"/>
      </rPr>
      <t xml:space="preserve">
Some clients have font size restrictions due to legal printing or specific states requirements.</t>
    </r>
  </si>
  <si>
    <t>P5</t>
  </si>
  <si>
    <r>
      <t xml:space="preserve">Please forward electronic versions of logos and backers, if applicable.   </t>
    </r>
    <r>
      <rPr>
        <b/>
        <sz val="11"/>
        <rFont val="Calibri"/>
        <family val="2"/>
        <scheme val="minor"/>
      </rPr>
      <t>**Disregard if providing Input PDF**</t>
    </r>
    <r>
      <rPr>
        <sz val="11"/>
        <rFont val="Calibri"/>
        <family val="2"/>
        <scheme val="minor"/>
      </rPr>
      <t xml:space="preserve">
Graphics should be at least 300 dpi, and be in .jpg, .eps, .png, or .tiff formats</t>
    </r>
  </si>
  <si>
    <t>P6</t>
  </si>
  <si>
    <t>Do you have any OCR scan line (banking) or MICR (checking) specifications for your documents? Will a bank test be required?</t>
  </si>
  <si>
    <t>If a scanline test if required, please provide banking criteria for scanlines.</t>
  </si>
  <si>
    <t>P7</t>
  </si>
  <si>
    <t>Does your application contain any variables or messages that need to be updated on a regular basis? (Graphic Msgs / Statement Msgs)</t>
  </si>
  <si>
    <t>Sending Your Files to Datamatx</t>
  </si>
  <si>
    <t>S1</t>
  </si>
  <si>
    <t>understand all files will you transmit to Datamatx for processing will be in PDF?</t>
  </si>
  <si>
    <t>Choice</t>
  </si>
  <si>
    <t>S2</t>
  </si>
  <si>
    <t>What software package will be used to create the data/input file?</t>
  </si>
  <si>
    <t>Crystal Reports</t>
  </si>
  <si>
    <t>Careradius, Salesforce or other (fillable/free form)</t>
  </si>
  <si>
    <t>Why are you asking this DX?</t>
  </si>
  <si>
    <t>S3</t>
  </si>
  <si>
    <t>How will the file be transmitted to Datamatx?  FTP/sFTP/eTRAX</t>
  </si>
  <si>
    <t>sFTP</t>
  </si>
  <si>
    <t>choice between the ones mentioned, or other fillable</t>
  </si>
  <si>
    <t>Shuld alsways be SFTP?</t>
  </si>
  <si>
    <t>S4</t>
  </si>
  <si>
    <t>Are there any special encryption requirements for the input or the output file?</t>
  </si>
  <si>
    <t xml:space="preserve">Shouldn't everything be encrypted </t>
  </si>
  <si>
    <t>S5</t>
  </si>
  <si>
    <t xml:space="preserve">Which production facility will your application mail from?   Atlanta / Richmond / Phoenix / Multiple Split </t>
  </si>
  <si>
    <t>Phoenix</t>
  </si>
  <si>
    <t>S6</t>
  </si>
  <si>
    <t xml:space="preserve">Once the application is live, what is the expected input file delivery schedule? Will the files be sent automatically or manually? </t>
  </si>
  <si>
    <t>Automated</t>
  </si>
  <si>
    <t>Why are you asking this?</t>
  </si>
  <si>
    <t>Handling Your Addresses</t>
  </si>
  <si>
    <t>H1</t>
  </si>
  <si>
    <r>
      <t>Will your project utilize householding method of mailing? (</t>
    </r>
    <r>
      <rPr>
        <b/>
        <sz val="11"/>
        <rFont val="Calibri"/>
        <family val="2"/>
        <scheme val="minor"/>
      </rPr>
      <t>combining same addresses into a single envelope</t>
    </r>
    <r>
      <rPr>
        <sz val="11"/>
        <rFont val="Calibri"/>
        <family val="2"/>
        <scheme val="minor"/>
      </rPr>
      <t>) 
Would the following business logic, "</t>
    </r>
    <r>
      <rPr>
        <b/>
        <sz val="11"/>
        <rFont val="Calibri"/>
        <family val="2"/>
        <scheme val="minor"/>
      </rPr>
      <t>Exact Name plus Exact Address</t>
    </r>
    <r>
      <rPr>
        <sz val="11"/>
        <rFont val="Calibri"/>
        <family val="2"/>
        <scheme val="minor"/>
      </rPr>
      <t xml:space="preserve">" be OK for your files?  </t>
    </r>
  </si>
  <si>
    <t>No</t>
  </si>
  <si>
    <t>Why are you asking - can I get examples?</t>
  </si>
  <si>
    <t>H2</t>
  </si>
  <si>
    <t xml:space="preserve"> Does any of your applications require an ancillary endorsement? e.g. Return Service Requested</t>
  </si>
  <si>
    <t>Choice yes or no</t>
  </si>
  <si>
    <t>H3</t>
  </si>
  <si>
    <r>
      <t xml:space="preserve">How should we handle move/no forward addresses?  </t>
    </r>
    <r>
      <rPr>
        <b/>
        <sz val="11"/>
        <rFont val="Calibri"/>
        <family val="2"/>
        <scheme val="minor"/>
      </rPr>
      <t xml:space="preserve"> A) 100% Mail All (Full Rate)  B) Suppress Move/No Forward Addresses  C) Print and Return</t>
    </r>
  </si>
  <si>
    <t>Suppress and Send Report Via sFTP</t>
  </si>
  <si>
    <t>Choice between suppress and report, or mail all</t>
  </si>
  <si>
    <t xml:space="preserve"> H4</t>
  </si>
  <si>
    <r>
      <t xml:space="preserve">How should we handle bad/undeliverable addresses?   </t>
    </r>
    <r>
      <rPr>
        <b/>
        <sz val="11"/>
        <rFont val="Calibri"/>
        <family val="2"/>
        <scheme val="minor"/>
      </rPr>
      <t>A) Suppress Bad Addresses  B) 100% Mail All   C) Print and Return</t>
    </r>
  </si>
  <si>
    <t>H5</t>
  </si>
  <si>
    <r>
      <t xml:space="preserve">How would you like to receive the bad address, change address, and NCOA address reports?  </t>
    </r>
    <r>
      <rPr>
        <b/>
        <sz val="11"/>
        <color theme="1"/>
        <rFont val="Calibri"/>
        <family val="2"/>
        <scheme val="minor"/>
      </rPr>
      <t xml:space="preserve">A) Email  B) eTRAX     </t>
    </r>
    <r>
      <rPr>
        <sz val="11"/>
        <color theme="1"/>
        <rFont val="Calibri"/>
        <family val="2"/>
        <scheme val="minor"/>
      </rPr>
      <t xml:space="preserve"> </t>
    </r>
  </si>
  <si>
    <t>Pending/ Security Concerns</t>
  </si>
  <si>
    <t>Choice how to resolve?</t>
  </si>
  <si>
    <t>Why do you need this?</t>
  </si>
  <si>
    <t>H6</t>
  </si>
  <si>
    <t>How would you like Datamatx to handle updating your address?</t>
  </si>
  <si>
    <t>Choices are the A, B, and C under H6</t>
  </si>
  <si>
    <r>
      <t xml:space="preserve">                    A)  Do not  make any changes to the address.  Preserve entire address as received. (</t>
    </r>
    <r>
      <rPr>
        <b/>
        <sz val="11"/>
        <rFont val="Calibri"/>
        <family val="2"/>
        <scheme val="minor"/>
      </rPr>
      <t>Must mail at Full First Class Rate/ No discount</t>
    </r>
    <r>
      <rPr>
        <sz val="11"/>
        <rFont val="Calibri"/>
        <family val="2"/>
        <scheme val="minor"/>
      </rPr>
      <t>)</t>
    </r>
  </si>
  <si>
    <t xml:space="preserve">                    B)  Update zip + 4 only and standardize the address to match the USPS  (e.g. Highway = HWY). </t>
  </si>
  <si>
    <t xml:space="preserve">                    C)  Update address to new address listed according to NCOA-18 and mail accordingly.</t>
  </si>
  <si>
    <t>H7</t>
  </si>
  <si>
    <t>Do you have any special requirement for licensing? (e.g. out of state moves, etc.).</t>
  </si>
  <si>
    <t>Validating Your Data</t>
  </si>
  <si>
    <t>V1</t>
  </si>
  <si>
    <t xml:space="preserve">Please furnish email addresses for sending the  Acknowledgement and Total emails. If multiple emails, please consider a group alias. </t>
  </si>
  <si>
    <t>Dbeth@triwest.com; rwolpert@triwest.com</t>
  </si>
  <si>
    <t>This should be all the folks listed as requestors or additional POCs</t>
  </si>
  <si>
    <t xml:space="preserve">                        (Acknowledgement / Totals Report / Available for Review &amp; Approval)</t>
  </si>
  <si>
    <t>V2</t>
  </si>
  <si>
    <r>
      <t>Will you require any custom</t>
    </r>
    <r>
      <rPr>
        <sz val="11"/>
        <color theme="1"/>
        <rFont val="Calibri"/>
        <family val="2"/>
        <scheme val="minor"/>
      </rPr>
      <t xml:space="preserve"> reporting in addition to Datamatx standard email acknowledgement and totals confirmations? </t>
    </r>
  </si>
  <si>
    <t>Not at this time</t>
  </si>
  <si>
    <t>V3</t>
  </si>
  <si>
    <r>
      <t xml:space="preserve">Your Datamatx account manager will notify you of a problem with a file (bad file, empty file, etc.). Who will be the </t>
    </r>
    <r>
      <rPr>
        <sz val="11"/>
        <color theme="1"/>
        <rFont val="Calibri"/>
        <family val="2"/>
        <scheme val="minor"/>
      </rPr>
      <t>primary contact person(s) that need to receive the notifications?</t>
    </r>
  </si>
  <si>
    <t>V4</t>
  </si>
  <si>
    <t>Will you provide a control record/file to validate against?                                                                                                                                                                        
What data validations that you require? i.e. counts/amounts/minimum-maximum, etc.</t>
  </si>
  <si>
    <t>Will Follow Up</t>
  </si>
  <si>
    <t>V5</t>
  </si>
  <si>
    <t xml:space="preserve">Do you have any records or accounts that will need to be suppressed? Not bad address related - e.g. &lt; $5 , bankruptcy, eStatements etc.
Additionally, do you want Datamatx to suppress any statements with a zero balance? How would you like the information reported to you? </t>
  </si>
  <si>
    <t>V6</t>
  </si>
  <si>
    <r>
      <t xml:space="preserve">How would you like for us to handle Suppressed Records?
</t>
    </r>
    <r>
      <rPr>
        <b/>
        <sz val="11"/>
        <rFont val="Calibri"/>
        <family val="2"/>
        <scheme val="minor"/>
      </rPr>
      <t>A)  Notify by email   B) Print and return to client  C)  Suppress and send back pdf with suppressed records  D)  Suppress and post a pdf file or records to FTP.</t>
    </r>
  </si>
  <si>
    <t>Suppress and Send back PDF  with suppressed records</t>
  </si>
  <si>
    <t>Choice - use the A, B, C, D as the options</t>
  </si>
  <si>
    <t>Viewing and Tracking Your Data</t>
  </si>
  <si>
    <t>T1</t>
  </si>
  <si>
    <t xml:space="preserve">Will you utilize eTRAX? Whom should we setup initially? </t>
  </si>
  <si>
    <t>T2</t>
  </si>
  <si>
    <t xml:space="preserve">Will you use eView?  If so, what is the search criteria? </t>
  </si>
  <si>
    <t>T3</t>
  </si>
  <si>
    <t>Will you use  eApprove? Initially or permanently?</t>
  </si>
  <si>
    <t xml:space="preserve">                             Do you want the entire file posted to eApprove or just a partial file?(Audit File)</t>
  </si>
  <si>
    <t>T4</t>
  </si>
  <si>
    <t>Would you like to be notified by email when your files have posted to eApprove? Do you need additional reminder emails?</t>
  </si>
  <si>
    <t>T6</t>
  </si>
  <si>
    <t>Do you require a CD/DVD of your images? Note: please follow questions on CD module.</t>
  </si>
  <si>
    <t>Datamatx  Accounting</t>
  </si>
  <si>
    <t>A2</t>
  </si>
  <si>
    <t>Who is the main contact our accounting department need to work with in your company? 
Please provide name, title, phone number, and email address.</t>
  </si>
  <si>
    <t>accounting@triwest.com</t>
  </si>
  <si>
    <t>A3</t>
  </si>
  <si>
    <t>Would you prefer your Datamatx invoices be delivered by email or US mail?</t>
  </si>
  <si>
    <t>email</t>
  </si>
  <si>
    <t>A4</t>
  </si>
  <si>
    <t>Do we have all Accounting Paperwork on file?  Mid/Crid, Tax exemption forms, etc…..</t>
  </si>
  <si>
    <t>A5</t>
  </si>
  <si>
    <t xml:space="preserve">Do we have a 45 Day Postage Deposit on File for your account?  </t>
  </si>
  <si>
    <t>DATAMATX PROJECT AND PROGRAMMING CHECKLIST</t>
  </si>
  <si>
    <t>Client Contacts</t>
  </si>
  <si>
    <t>Name</t>
  </si>
  <si>
    <t>Title</t>
  </si>
  <si>
    <t>Email</t>
  </si>
  <si>
    <t>Phone</t>
  </si>
  <si>
    <t>Cell</t>
  </si>
  <si>
    <t>Zoe Rondeau</t>
  </si>
  <si>
    <t>Project Manager</t>
  </si>
  <si>
    <t>zrondeau@triwest.com</t>
  </si>
  <si>
    <t>Laurie Van atta</t>
  </si>
  <si>
    <t>Main Developer in Project</t>
  </si>
  <si>
    <t>lvanatta@triwest.com</t>
  </si>
  <si>
    <t>Kathi Sobera</t>
  </si>
  <si>
    <t>SVP Clinical Operations</t>
  </si>
  <si>
    <t>Ksobera@triwest.com</t>
  </si>
  <si>
    <t>Dave Beth</t>
  </si>
  <si>
    <t>Support</t>
  </si>
  <si>
    <t>Dbeth@triwest.com</t>
  </si>
  <si>
    <t>Aislinn Cobb Hayes</t>
  </si>
  <si>
    <t>SR BA Lead Supporting Project</t>
  </si>
  <si>
    <t>Acobb-hayes@triwest.com</t>
  </si>
  <si>
    <t>Mickey Joseph</t>
  </si>
  <si>
    <t>Sr. Supporting Project</t>
  </si>
  <si>
    <t>mjoseph@triwest.com</t>
  </si>
  <si>
    <t>Datamatx Contacts</t>
  </si>
  <si>
    <t>Ext</t>
  </si>
  <si>
    <t>TJ Jeffries</t>
  </si>
  <si>
    <t>Account Manager</t>
  </si>
  <si>
    <t>tjeffries@datamatx.com</t>
  </si>
  <si>
    <t xml:space="preserve">(770)936-5600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</si>
</sst>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3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0" fillId="5" borderId="0" xfId="0" applyFill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/>
    </xf>
    <xf numFmtId="0" fontId="14" fillId="5" borderId="10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/>
    </xf>
    <xf numFmtId="0" fontId="2" fillId="6" borderId="1" xfId="1" applyFill="1" applyBorder="1" applyAlignment="1">
      <alignment horizontal="center" vertical="center"/>
    </xf>
    <xf numFmtId="0" fontId="2" fillId="6" borderId="1" xfId="1" applyFill="1" applyBorder="1" applyAlignment="1">
      <alignment horizontal="left" vertical="center"/>
    </xf>
    <xf numFmtId="0" fontId="0" fillId="6" borderId="0" xfId="0" applyFill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 wrapText="1"/>
    </xf>
    <xf numFmtId="0" fontId="0" fillId="7" borderId="11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6" fillId="3" borderId="3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447674</xdr:colOff>
      <xdr:row>0</xdr:row>
      <xdr:rowOff>133350</xdr:rowOff>
    </xdr:from>
    <xdr:to>
      <xdr:col>2</xdr:col>
      <xdr:colOff>2495549</xdr:colOff>
      <xdr:row>7</xdr:row>
      <xdr:rowOff>64036</xdr:rowOff>
    </xdr:to>
    <xdr:pic>
      <xdr:nvPicPr>
        <xdr:cNvPr id="3" name="Picture 2" descr="dxlblulgo.t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43974" y="133350"/>
          <a:ext cx="2047875" cy="1273711"/>
        </a:xfrm>
        <a:prstGeom prst="rect">
          <a:avLst/>
        </a:prstGeom>
      </xdr:spPr>
    </xdr:pic>
    <xdr:clientData/>
  </xdr:twoCellAnchor>
  <xdr:oneCellAnchor>
    <xdr:from>
      <xdr:col>3</xdr:col>
      <xdr:colOff>352426</xdr:colOff>
      <xdr:row>0</xdr:row>
      <xdr:rowOff>0</xdr:rowOff>
    </xdr:from>
    <xdr:ext cx="1838324" cy="1371227"/>
    <xdr:pic>
      <xdr:nvPicPr>
        <xdr:cNvPr id="6" name="Picture 5" descr="See related image detail. TriWest Healthcare Alliance Headquarters &amp; Corporate Offic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25276" y="0"/>
          <a:ext cx="1838324" cy="1371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426095</xdr:colOff>
      <xdr:row>0</xdr:row>
      <xdr:rowOff>57150</xdr:rowOff>
    </xdr:from>
    <xdr:to>
      <xdr:col>4</xdr:col>
      <xdr:colOff>872109</xdr:colOff>
      <xdr:row>5</xdr:row>
      <xdr:rowOff>85725</xdr:rowOff>
    </xdr:to>
    <xdr:pic>
      <xdr:nvPicPr>
        <xdr:cNvPr id="3" name="Picture 2" descr="dxlblulgo.ti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27170" y="57150"/>
          <a:ext cx="1836664" cy="981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beth@triwes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griffith@datamat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E76"/>
  <sheetViews>
    <sheetView tabSelected="1" topLeftCell="A65" zoomScale="120" zoomScaleNormal="120" zoomScaleSheetLayoutView="100" workbookViewId="0">
      <selection activeCell="B80" sqref="B80"/>
    </sheetView>
  </sheetViews>
  <sheetFormatPr defaultColWidth="9.140625" defaultRowHeight="15"/>
  <cols>
    <col min="1" max="1" width="4.140625" style="4" bestFit="1" customWidth="1"/>
    <col min="2" max="2" width="131.42578125" style="7" customWidth="1"/>
    <col min="3" max="3" width="48" style="4" customWidth="1"/>
    <col min="4" max="4" width="60" style="7" bestFit="1" customWidth="1"/>
    <col min="5" max="5" width="37.42578125" style="7" bestFit="1" customWidth="1"/>
    <col min="6" max="16384" width="9.140625" style="7"/>
  </cols>
  <sheetData>
    <row r="1" spans="1:4" ht="15.75">
      <c r="A1" s="78" t="s">
        <v>0</v>
      </c>
      <c r="B1" s="79"/>
      <c r="C1" s="75"/>
      <c r="D1" s="75"/>
    </row>
    <row r="2" spans="1:4">
      <c r="A2" s="84" t="s">
        <v>1</v>
      </c>
      <c r="B2" s="85"/>
      <c r="C2" s="76"/>
      <c r="D2" s="76"/>
    </row>
    <row r="3" spans="1:4">
      <c r="A3" s="71" t="s">
        <v>2</v>
      </c>
      <c r="B3" s="72"/>
      <c r="C3" s="76"/>
      <c r="D3" s="76"/>
    </row>
    <row r="4" spans="1:4">
      <c r="A4" s="84" t="s">
        <v>3</v>
      </c>
      <c r="B4" s="85"/>
      <c r="C4" s="76"/>
      <c r="D4" s="76"/>
    </row>
    <row r="5" spans="1:4">
      <c r="A5" s="86" t="s">
        <v>4</v>
      </c>
      <c r="B5" s="87"/>
      <c r="C5" s="76"/>
      <c r="D5" s="76"/>
    </row>
    <row r="6" spans="1:4">
      <c r="A6" s="86" t="s">
        <v>5</v>
      </c>
      <c r="B6" s="87"/>
      <c r="C6" s="76"/>
      <c r="D6" s="76"/>
    </row>
    <row r="7" spans="1:4">
      <c r="A7" s="73" t="s">
        <v>6</v>
      </c>
      <c r="B7" s="74" t="s">
        <v>7</v>
      </c>
      <c r="C7" s="76"/>
      <c r="D7" s="76"/>
    </row>
    <row r="8" spans="1:4">
      <c r="C8" s="76"/>
      <c r="D8" s="76"/>
    </row>
    <row r="9" spans="1:4" s="28" customFormat="1" ht="12" customHeight="1">
      <c r="A9" s="88" t="s">
        <v>8</v>
      </c>
      <c r="B9" s="89"/>
      <c r="C9" s="77"/>
      <c r="D9" s="77"/>
    </row>
    <row r="10" spans="1:4" ht="15.75">
      <c r="A10" s="80" t="s">
        <v>9</v>
      </c>
      <c r="B10" s="80"/>
      <c r="C10" s="22"/>
      <c r="D10" s="22"/>
    </row>
    <row r="11" spans="1:4" ht="30">
      <c r="A11" s="3" t="s">
        <v>10</v>
      </c>
      <c r="B11" s="5" t="s">
        <v>11</v>
      </c>
      <c r="C11" s="3" t="s">
        <v>12</v>
      </c>
      <c r="D11" s="55" t="s">
        <v>13</v>
      </c>
    </row>
    <row r="12" spans="1:4">
      <c r="A12" s="53" t="s">
        <v>14</v>
      </c>
      <c r="B12" s="54" t="s">
        <v>15</v>
      </c>
      <c r="C12" s="53" t="s">
        <v>16</v>
      </c>
      <c r="D12" s="3"/>
    </row>
    <row r="13" spans="1:4" ht="15.75">
      <c r="A13" s="21" t="s">
        <v>17</v>
      </c>
      <c r="B13" s="23"/>
      <c r="C13" s="22"/>
      <c r="D13" s="22"/>
    </row>
    <row r="14" spans="1:4">
      <c r="A14" s="60" t="s">
        <v>18</v>
      </c>
      <c r="B14" s="61" t="s">
        <v>19</v>
      </c>
      <c r="C14" s="60" t="s">
        <v>20</v>
      </c>
      <c r="D14" s="62"/>
    </row>
    <row r="15" spans="1:4">
      <c r="A15" s="29" t="s">
        <v>21</v>
      </c>
      <c r="B15" s="40" t="s">
        <v>22</v>
      </c>
      <c r="C15" s="32" t="s">
        <v>23</v>
      </c>
      <c r="D15" s="56" t="s">
        <v>24</v>
      </c>
    </row>
    <row r="16" spans="1:4" ht="30">
      <c r="A16" s="3" t="s">
        <v>25</v>
      </c>
      <c r="B16" s="2" t="s">
        <v>26</v>
      </c>
      <c r="C16" s="37" t="s">
        <v>27</v>
      </c>
      <c r="D16" s="6" t="s">
        <v>28</v>
      </c>
    </row>
    <row r="17" spans="1:5">
      <c r="A17" s="3" t="s">
        <v>29</v>
      </c>
      <c r="B17" s="2" t="s">
        <v>30</v>
      </c>
      <c r="C17" s="37" t="s">
        <v>31</v>
      </c>
      <c r="D17" s="24" t="s">
        <v>32</v>
      </c>
    </row>
    <row r="18" spans="1:5">
      <c r="A18" s="3"/>
      <c r="B18" s="2" t="s">
        <v>33</v>
      </c>
      <c r="C18" s="37"/>
      <c r="D18" s="24"/>
    </row>
    <row r="19" spans="1:5">
      <c r="A19" s="3" t="s">
        <v>34</v>
      </c>
      <c r="B19" s="6" t="s">
        <v>35</v>
      </c>
      <c r="C19" s="3" t="s">
        <v>36</v>
      </c>
      <c r="D19" s="2" t="s">
        <v>37</v>
      </c>
    </row>
    <row r="20" spans="1:5" ht="15.75">
      <c r="A20" s="21" t="s">
        <v>38</v>
      </c>
      <c r="B20" s="23"/>
      <c r="C20" s="22"/>
      <c r="D20" s="22"/>
    </row>
    <row r="21" spans="1:5">
      <c r="A21" s="29" t="s">
        <v>39</v>
      </c>
      <c r="B21" s="25" t="s">
        <v>40</v>
      </c>
      <c r="C21" s="3" t="s">
        <v>41</v>
      </c>
      <c r="D21" s="3" t="s">
        <v>42</v>
      </c>
    </row>
    <row r="22" spans="1:5">
      <c r="A22" s="3" t="s">
        <v>43</v>
      </c>
      <c r="B22" s="5" t="s">
        <v>44</v>
      </c>
      <c r="C22" s="29" t="s">
        <v>45</v>
      </c>
      <c r="D22" s="26" t="s">
        <v>46</v>
      </c>
    </row>
    <row r="23" spans="1:5">
      <c r="A23" s="3" t="s">
        <v>47</v>
      </c>
      <c r="B23" s="5" t="s">
        <v>48</v>
      </c>
      <c r="C23" s="29" t="s">
        <v>49</v>
      </c>
      <c r="D23" s="26" t="s">
        <v>50</v>
      </c>
    </row>
    <row r="24" spans="1:5">
      <c r="A24" s="3" t="s">
        <v>51</v>
      </c>
      <c r="B24" s="5" t="s">
        <v>52</v>
      </c>
      <c r="C24" s="29" t="s">
        <v>53</v>
      </c>
      <c r="D24" s="26" t="s">
        <v>54</v>
      </c>
      <c r="E24" s="7" t="s">
        <v>55</v>
      </c>
    </row>
    <row r="25" spans="1:5">
      <c r="A25" s="3"/>
      <c r="B25" s="25" t="s">
        <v>56</v>
      </c>
      <c r="C25" s="29" t="s">
        <v>57</v>
      </c>
      <c r="D25" s="26" t="s">
        <v>58</v>
      </c>
    </row>
    <row r="26" spans="1:5" s="52" customFormat="1">
      <c r="A26" s="35" t="s">
        <v>59</v>
      </c>
      <c r="B26" s="49" t="s">
        <v>60</v>
      </c>
      <c r="C26" s="35" t="s">
        <v>61</v>
      </c>
      <c r="D26" s="31" t="s">
        <v>62</v>
      </c>
      <c r="E26" s="52" t="s">
        <v>63</v>
      </c>
    </row>
    <row r="27" spans="1:5" s="50" customFormat="1">
      <c r="A27" s="34" t="s">
        <v>64</v>
      </c>
      <c r="B27" s="40" t="s">
        <v>65</v>
      </c>
      <c r="C27" s="32" t="s">
        <v>66</v>
      </c>
      <c r="D27" s="31" t="s">
        <v>67</v>
      </c>
      <c r="E27" s="52" t="s">
        <v>63</v>
      </c>
    </row>
    <row r="28" spans="1:5">
      <c r="A28" s="3" t="s">
        <v>68</v>
      </c>
      <c r="B28" s="5" t="s">
        <v>69</v>
      </c>
      <c r="C28" s="29" t="s">
        <v>70</v>
      </c>
      <c r="D28" s="26" t="s">
        <v>71</v>
      </c>
      <c r="E28" s="7" t="s">
        <v>72</v>
      </c>
    </row>
    <row r="29" spans="1:5">
      <c r="A29" s="29" t="s">
        <v>73</v>
      </c>
      <c r="B29" s="30" t="s">
        <v>74</v>
      </c>
      <c r="C29" s="36" t="s">
        <v>75</v>
      </c>
      <c r="D29" s="27" t="s">
        <v>76</v>
      </c>
      <c r="E29" s="7" t="s">
        <v>72</v>
      </c>
    </row>
    <row r="30" spans="1:5" ht="15.75">
      <c r="A30" s="21" t="s">
        <v>77</v>
      </c>
      <c r="B30" s="23"/>
      <c r="C30" s="22"/>
      <c r="D30" s="22"/>
    </row>
    <row r="31" spans="1:5" ht="19.5" customHeight="1">
      <c r="A31" s="57" t="s">
        <v>78</v>
      </c>
      <c r="B31" s="8" t="s">
        <v>79</v>
      </c>
      <c r="C31" s="3" t="s">
        <v>80</v>
      </c>
      <c r="D31" s="3" t="s">
        <v>81</v>
      </c>
      <c r="E31" s="7" t="s">
        <v>82</v>
      </c>
    </row>
    <row r="32" spans="1:5">
      <c r="A32" s="57" t="s">
        <v>83</v>
      </c>
      <c r="B32" s="44" t="s">
        <v>84</v>
      </c>
      <c r="C32" s="34" t="s">
        <v>85</v>
      </c>
      <c r="D32" s="34" t="s">
        <v>86</v>
      </c>
      <c r="E32" s="7" t="s">
        <v>87</v>
      </c>
    </row>
    <row r="33" spans="1:5">
      <c r="A33" s="57" t="s">
        <v>88</v>
      </c>
      <c r="B33" s="63" t="s">
        <v>89</v>
      </c>
      <c r="C33" s="3" t="s">
        <v>90</v>
      </c>
      <c r="D33" s="3"/>
      <c r="E33" s="7" t="s">
        <v>91</v>
      </c>
    </row>
    <row r="34" spans="1:5" ht="30">
      <c r="A34" s="57" t="s">
        <v>92</v>
      </c>
      <c r="B34" s="64" t="s">
        <v>93</v>
      </c>
      <c r="C34" s="29" t="s">
        <v>57</v>
      </c>
      <c r="D34" s="26"/>
      <c r="E34" s="7" t="s">
        <v>91</v>
      </c>
    </row>
    <row r="35" spans="1:5" ht="30">
      <c r="A35" s="57" t="s">
        <v>94</v>
      </c>
      <c r="B35" s="64" t="s">
        <v>95</v>
      </c>
      <c r="C35" s="29" t="s">
        <v>57</v>
      </c>
      <c r="D35" s="26"/>
      <c r="E35" s="7" t="s">
        <v>91</v>
      </c>
    </row>
    <row r="36" spans="1:5">
      <c r="A36" s="82" t="s">
        <v>96</v>
      </c>
      <c r="B36" s="59" t="s">
        <v>97</v>
      </c>
      <c r="C36" s="3" t="s">
        <v>57</v>
      </c>
      <c r="D36" s="3"/>
    </row>
    <row r="37" spans="1:5">
      <c r="A37" s="83"/>
      <c r="B37" s="59" t="s">
        <v>98</v>
      </c>
      <c r="C37" s="3" t="s">
        <v>57</v>
      </c>
      <c r="D37" s="3"/>
    </row>
    <row r="38" spans="1:5">
      <c r="A38" s="57" t="s">
        <v>99</v>
      </c>
      <c r="B38" s="65" t="s">
        <v>100</v>
      </c>
      <c r="C38" s="3" t="s">
        <v>57</v>
      </c>
      <c r="D38" s="3"/>
    </row>
    <row r="39" spans="1:5" ht="15.75">
      <c r="A39" s="21" t="s">
        <v>101</v>
      </c>
      <c r="B39" s="23"/>
      <c r="C39" s="22"/>
      <c r="D39" s="22"/>
    </row>
    <row r="40" spans="1:5">
      <c r="A40" s="3" t="s">
        <v>102</v>
      </c>
      <c r="B40" s="2" t="s">
        <v>103</v>
      </c>
      <c r="C40" s="3" t="s">
        <v>90</v>
      </c>
      <c r="D40" s="2" t="s">
        <v>104</v>
      </c>
      <c r="E40" s="7" t="s">
        <v>72</v>
      </c>
    </row>
    <row r="41" spans="1:5">
      <c r="A41" s="3" t="s">
        <v>105</v>
      </c>
      <c r="B41" s="2" t="s">
        <v>106</v>
      </c>
      <c r="C41" s="3" t="s">
        <v>107</v>
      </c>
      <c r="D41" s="2" t="s">
        <v>108</v>
      </c>
      <c r="E41" s="7" t="s">
        <v>109</v>
      </c>
    </row>
    <row r="42" spans="1:5">
      <c r="A42" s="3" t="s">
        <v>110</v>
      </c>
      <c r="B42" s="2" t="s">
        <v>111</v>
      </c>
      <c r="C42" s="3" t="s">
        <v>112</v>
      </c>
      <c r="D42" s="2" t="s">
        <v>113</v>
      </c>
      <c r="E42" s="7" t="s">
        <v>114</v>
      </c>
    </row>
    <row r="43" spans="1:5">
      <c r="A43" s="53" t="s">
        <v>115</v>
      </c>
      <c r="B43" s="59" t="s">
        <v>116</v>
      </c>
      <c r="C43" s="53" t="s">
        <v>85</v>
      </c>
      <c r="D43" s="59"/>
      <c r="E43" s="7" t="s">
        <v>117</v>
      </c>
    </row>
    <row r="44" spans="1:5">
      <c r="A44" s="53" t="s">
        <v>118</v>
      </c>
      <c r="B44" s="58" t="s">
        <v>119</v>
      </c>
      <c r="C44" s="53" t="s">
        <v>120</v>
      </c>
      <c r="D44" s="59"/>
    </row>
    <row r="45" spans="1:5">
      <c r="A45" s="53" t="s">
        <v>121</v>
      </c>
      <c r="B45" s="59" t="s">
        <v>122</v>
      </c>
      <c r="C45" s="53" t="s">
        <v>123</v>
      </c>
      <c r="D45" s="59"/>
      <c r="E45" s="7" t="s">
        <v>124</v>
      </c>
    </row>
    <row r="46" spans="1:5" ht="15.75">
      <c r="A46" s="81" t="s">
        <v>125</v>
      </c>
      <c r="B46" s="81"/>
      <c r="C46" s="45"/>
      <c r="D46" s="45"/>
    </row>
    <row r="47" spans="1:5" s="8" customFormat="1" ht="30">
      <c r="A47" s="60" t="s">
        <v>126</v>
      </c>
      <c r="B47" s="65" t="s">
        <v>127</v>
      </c>
      <c r="C47" s="60" t="s">
        <v>128</v>
      </c>
      <c r="D47" s="62"/>
      <c r="E47" s="8" t="s">
        <v>129</v>
      </c>
    </row>
    <row r="48" spans="1:5" s="5" customFormat="1">
      <c r="A48" s="60" t="s">
        <v>130</v>
      </c>
      <c r="B48" s="63" t="s">
        <v>131</v>
      </c>
      <c r="C48" s="60" t="s">
        <v>85</v>
      </c>
      <c r="D48" s="62" t="s">
        <v>132</v>
      </c>
    </row>
    <row r="49" spans="1:5" s="43" customFormat="1">
      <c r="A49" s="46" t="s">
        <v>133</v>
      </c>
      <c r="B49" s="47" t="s">
        <v>134</v>
      </c>
      <c r="C49" s="46" t="s">
        <v>135</v>
      </c>
      <c r="D49" s="48" t="s">
        <v>136</v>
      </c>
    </row>
    <row r="50" spans="1:5" s="43" customFormat="1">
      <c r="A50" s="32" t="s">
        <v>137</v>
      </c>
      <c r="B50" s="33" t="s">
        <v>138</v>
      </c>
      <c r="C50" s="32" t="s">
        <v>135</v>
      </c>
      <c r="D50" s="48" t="s">
        <v>136</v>
      </c>
    </row>
    <row r="51" spans="1:5">
      <c r="A51" s="53" t="s">
        <v>139</v>
      </c>
      <c r="B51" s="66" t="s">
        <v>140</v>
      </c>
      <c r="C51" s="60" t="s">
        <v>141</v>
      </c>
      <c r="D51" s="67" t="s">
        <v>142</v>
      </c>
      <c r="E51" s="7" t="s">
        <v>143</v>
      </c>
    </row>
    <row r="52" spans="1:5">
      <c r="A52" s="32" t="s">
        <v>144</v>
      </c>
      <c r="B52" s="33" t="s">
        <v>145</v>
      </c>
      <c r="C52" s="32" t="s">
        <v>141</v>
      </c>
      <c r="D52" s="41" t="s">
        <v>146</v>
      </c>
    </row>
    <row r="53" spans="1:5">
      <c r="A53" s="32"/>
      <c r="B53" s="33" t="s">
        <v>147</v>
      </c>
      <c r="C53" s="41"/>
      <c r="D53" s="41"/>
    </row>
    <row r="54" spans="1:5">
      <c r="A54" s="32"/>
      <c r="B54" s="33" t="s">
        <v>148</v>
      </c>
      <c r="C54" s="41"/>
      <c r="D54" s="41"/>
    </row>
    <row r="55" spans="1:5">
      <c r="A55" s="32"/>
      <c r="B55" s="33" t="s">
        <v>149</v>
      </c>
      <c r="C55" s="41"/>
      <c r="D55" s="41"/>
    </row>
    <row r="56" spans="1:5">
      <c r="A56" s="53" t="s">
        <v>150</v>
      </c>
      <c r="B56" s="66" t="s">
        <v>151</v>
      </c>
      <c r="C56" s="53" t="s">
        <v>128</v>
      </c>
      <c r="D56" s="59"/>
    </row>
    <row r="57" spans="1:5" ht="15.75">
      <c r="A57" s="21" t="s">
        <v>152</v>
      </c>
      <c r="B57" s="23"/>
      <c r="C57" s="22"/>
      <c r="D57" s="22"/>
    </row>
    <row r="58" spans="1:5">
      <c r="A58" s="3" t="s">
        <v>153</v>
      </c>
      <c r="B58" s="6" t="s">
        <v>154</v>
      </c>
      <c r="C58" s="38" t="s">
        <v>155</v>
      </c>
      <c r="D58" s="14" t="s">
        <v>156</v>
      </c>
    </row>
    <row r="59" spans="1:5">
      <c r="A59" s="53"/>
      <c r="B59" s="64" t="s">
        <v>157</v>
      </c>
      <c r="C59" s="68"/>
      <c r="D59" s="69"/>
    </row>
    <row r="60" spans="1:5">
      <c r="A60" s="53" t="s">
        <v>158</v>
      </c>
      <c r="B60" s="66" t="s">
        <v>159</v>
      </c>
      <c r="C60" s="53" t="s">
        <v>160</v>
      </c>
      <c r="D60" s="59"/>
    </row>
    <row r="61" spans="1:5" ht="30">
      <c r="A61" s="53" t="s">
        <v>161</v>
      </c>
      <c r="B61" s="66" t="s">
        <v>162</v>
      </c>
      <c r="C61" s="53" t="s">
        <v>155</v>
      </c>
      <c r="D61" s="59"/>
    </row>
    <row r="62" spans="1:5" ht="32.450000000000003" customHeight="1">
      <c r="A62" s="34" t="s">
        <v>163</v>
      </c>
      <c r="B62" s="33" t="s">
        <v>164</v>
      </c>
      <c r="C62" s="32" t="s">
        <v>165</v>
      </c>
      <c r="D62" s="42" t="s">
        <v>58</v>
      </c>
    </row>
    <row r="63" spans="1:5" ht="35.25" customHeight="1">
      <c r="A63" s="3" t="s">
        <v>166</v>
      </c>
      <c r="B63" s="20" t="s">
        <v>167</v>
      </c>
      <c r="C63" s="29" t="s">
        <v>57</v>
      </c>
      <c r="D63" s="26" t="s">
        <v>58</v>
      </c>
    </row>
    <row r="64" spans="1:5" ht="45">
      <c r="A64" s="3" t="s">
        <v>168</v>
      </c>
      <c r="B64" s="20" t="s">
        <v>169</v>
      </c>
      <c r="C64" s="29" t="s">
        <v>170</v>
      </c>
      <c r="D64" s="26" t="s">
        <v>171</v>
      </c>
    </row>
    <row r="65" spans="1:4" ht="15.75">
      <c r="A65" s="21" t="s">
        <v>172</v>
      </c>
      <c r="B65" s="23"/>
      <c r="C65" s="39"/>
      <c r="D65" s="22"/>
    </row>
    <row r="66" spans="1:4">
      <c r="A66" s="53" t="s">
        <v>173</v>
      </c>
      <c r="B66" s="63" t="s">
        <v>174</v>
      </c>
      <c r="C66" s="60" t="s">
        <v>85</v>
      </c>
      <c r="D66" s="67"/>
    </row>
    <row r="67" spans="1:4">
      <c r="A67" s="53" t="s">
        <v>175</v>
      </c>
      <c r="B67" s="61" t="s">
        <v>176</v>
      </c>
      <c r="C67" s="60" t="s">
        <v>85</v>
      </c>
      <c r="D67" s="67"/>
    </row>
    <row r="68" spans="1:4">
      <c r="A68" s="53" t="s">
        <v>177</v>
      </c>
      <c r="B68" s="54" t="s">
        <v>178</v>
      </c>
      <c r="C68" s="60" t="s">
        <v>85</v>
      </c>
      <c r="D68" s="59"/>
    </row>
    <row r="69" spans="1:4" s="51" customFormat="1">
      <c r="A69" s="60"/>
      <c r="B69" s="61" t="s">
        <v>179</v>
      </c>
      <c r="C69" s="60" t="s">
        <v>85</v>
      </c>
      <c r="D69" s="63"/>
    </row>
    <row r="70" spans="1:4">
      <c r="A70" s="53" t="s">
        <v>180</v>
      </c>
      <c r="B70" s="54" t="s">
        <v>181</v>
      </c>
      <c r="C70" s="60" t="s">
        <v>85</v>
      </c>
      <c r="D70" s="59"/>
    </row>
    <row r="71" spans="1:4" hidden="1">
      <c r="A71" s="3" t="s">
        <v>182</v>
      </c>
      <c r="B71" s="6" t="s">
        <v>183</v>
      </c>
      <c r="C71" s="2"/>
      <c r="D71" s="2"/>
    </row>
    <row r="72" spans="1:4" ht="15.75">
      <c r="A72" s="21" t="s">
        <v>184</v>
      </c>
      <c r="B72" s="23"/>
      <c r="C72" s="22"/>
      <c r="D72" s="22"/>
    </row>
    <row r="73" spans="1:4" ht="30">
      <c r="A73" s="53" t="s">
        <v>185</v>
      </c>
      <c r="B73" s="64" t="s">
        <v>186</v>
      </c>
      <c r="C73" s="70" t="s">
        <v>187</v>
      </c>
      <c r="D73" s="67"/>
    </row>
    <row r="74" spans="1:4">
      <c r="A74" s="53" t="s">
        <v>188</v>
      </c>
      <c r="B74" s="61" t="s">
        <v>189</v>
      </c>
      <c r="C74" s="53" t="s">
        <v>190</v>
      </c>
      <c r="D74" s="53"/>
    </row>
    <row r="75" spans="1:4">
      <c r="A75" s="53" t="s">
        <v>191</v>
      </c>
      <c r="B75" s="54" t="s">
        <v>192</v>
      </c>
      <c r="C75" s="53" t="s">
        <v>85</v>
      </c>
      <c r="D75" s="54"/>
    </row>
    <row r="76" spans="1:4">
      <c r="A76" s="53" t="s">
        <v>193</v>
      </c>
      <c r="B76" s="54" t="s">
        <v>194</v>
      </c>
      <c r="C76" s="53" t="s">
        <v>85</v>
      </c>
      <c r="D76" s="54"/>
    </row>
  </sheetData>
  <mergeCells count="11">
    <mergeCell ref="D1:D9"/>
    <mergeCell ref="C1:C9"/>
    <mergeCell ref="A1:B1"/>
    <mergeCell ref="A10:B10"/>
    <mergeCell ref="A46:B46"/>
    <mergeCell ref="A36:A37"/>
    <mergeCell ref="A2:B2"/>
    <mergeCell ref="A4:B4"/>
    <mergeCell ref="A5:B5"/>
    <mergeCell ref="A6:B6"/>
    <mergeCell ref="A9:B9"/>
  </mergeCells>
  <hyperlinks>
    <hyperlink ref="C58" r:id="rId1" display="Dbeth@triwest.com" xr:uid="{00000000-0004-0000-0000-000000000000}"/>
  </hyperlinks>
  <pageMargins left="0.125" right="0.125" top="0.125" bottom="0.6" header="0.19" footer="0.17"/>
  <pageSetup paperSize="5" scale="78" fitToHeight="0" orientation="landscape" r:id="rId2"/>
  <headerFooter>
    <oddFooter>&amp;RDoc ID: DX_0066 / VZ: 06-08-21 / STD(s): CS3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E21"/>
  <sheetViews>
    <sheetView workbookViewId="0">
      <selection activeCell="D21" sqref="D21:D22"/>
    </sheetView>
  </sheetViews>
  <sheetFormatPr defaultColWidth="9.140625" defaultRowHeight="15"/>
  <cols>
    <col min="1" max="1" width="33" bestFit="1" customWidth="1"/>
    <col min="2" max="2" width="47.140625" customWidth="1"/>
    <col min="3" max="3" width="48.85546875" customWidth="1"/>
    <col min="4" max="4" width="20.85546875" customWidth="1"/>
    <col min="5" max="5" width="20.42578125" customWidth="1"/>
    <col min="6" max="6" width="8.28515625" bestFit="1" customWidth="1"/>
  </cols>
  <sheetData>
    <row r="1" spans="1:5" ht="15.75">
      <c r="A1" s="96" t="s">
        <v>195</v>
      </c>
      <c r="B1" s="97"/>
      <c r="C1" s="97"/>
      <c r="D1" s="98"/>
      <c r="E1" s="99"/>
    </row>
    <row r="2" spans="1:5" ht="14.45" customHeight="1">
      <c r="A2" s="84" t="str">
        <f>'Client Setup'!A2</f>
        <v>Client Name: (auto to whomever is requesting)</v>
      </c>
      <c r="B2" s="85"/>
      <c r="C2" s="85"/>
      <c r="D2" s="100"/>
      <c r="E2" s="101"/>
    </row>
    <row r="3" spans="1:5">
      <c r="A3" s="84" t="str">
        <f>'Client Setup'!A4</f>
        <v>Project Name (letter name): Mil Connect</v>
      </c>
      <c r="B3" s="85"/>
      <c r="C3" s="85"/>
      <c r="D3" s="100"/>
      <c r="E3" s="101"/>
    </row>
    <row r="4" spans="1:5">
      <c r="A4" s="84" t="str">
        <f>'Client Setup'!A5</f>
        <v>Client Services:  Account Mgr:  TJ Jeffries; Backup Account Mgr:  Jeffrey Rogers;  Director of Client Svcs:  Gabi Peck</v>
      </c>
      <c r="B4" s="85"/>
      <c r="C4" s="85"/>
      <c r="D4" s="100"/>
      <c r="E4" s="101"/>
    </row>
    <row r="5" spans="1:5">
      <c r="A5" s="84" t="str">
        <f>'Client Setup'!A6</f>
        <v>Programmers:   Rasta Ahmady; Director of Programming: Marc Fayard</v>
      </c>
      <c r="B5" s="85"/>
      <c r="C5" s="85"/>
      <c r="D5" s="100"/>
      <c r="E5" s="101"/>
    </row>
    <row r="6" spans="1:5">
      <c r="A6" s="90"/>
      <c r="B6" s="91"/>
      <c r="C6" s="91"/>
      <c r="D6" s="102"/>
      <c r="E6" s="103"/>
    </row>
    <row r="7" spans="1:5" ht="15.75">
      <c r="A7" s="92" t="s">
        <v>196</v>
      </c>
      <c r="B7" s="92"/>
      <c r="C7" s="92"/>
      <c r="D7" s="93"/>
      <c r="E7" s="93"/>
    </row>
    <row r="8" spans="1:5" ht="15.75">
      <c r="A8" s="19" t="s">
        <v>197</v>
      </c>
      <c r="B8" s="19" t="s">
        <v>198</v>
      </c>
      <c r="C8" s="19" t="s">
        <v>199</v>
      </c>
      <c r="D8" s="19" t="s">
        <v>200</v>
      </c>
      <c r="E8" s="19" t="s">
        <v>201</v>
      </c>
    </row>
    <row r="9" spans="1:5">
      <c r="A9" s="1" t="s">
        <v>202</v>
      </c>
      <c r="B9" s="10" t="s">
        <v>203</v>
      </c>
      <c r="C9" s="9" t="s">
        <v>204</v>
      </c>
      <c r="D9" s="1"/>
      <c r="E9" s="11"/>
    </row>
    <row r="10" spans="1:5">
      <c r="A10" s="9" t="s">
        <v>205</v>
      </c>
      <c r="B10" s="1" t="s">
        <v>206</v>
      </c>
      <c r="C10" s="9" t="s">
        <v>207</v>
      </c>
      <c r="D10" s="12"/>
      <c r="E10" s="11"/>
    </row>
    <row r="11" spans="1:5">
      <c r="A11" s="1" t="s">
        <v>208</v>
      </c>
      <c r="B11" s="1" t="s">
        <v>209</v>
      </c>
      <c r="C11" s="9" t="s">
        <v>210</v>
      </c>
      <c r="D11" s="1"/>
      <c r="E11" s="11"/>
    </row>
    <row r="12" spans="1:5">
      <c r="A12" s="1" t="s">
        <v>211</v>
      </c>
      <c r="B12" s="1" t="s">
        <v>212</v>
      </c>
      <c r="C12" s="9" t="s">
        <v>213</v>
      </c>
      <c r="D12" s="1"/>
      <c r="E12" s="11"/>
    </row>
    <row r="13" spans="1:5">
      <c r="A13" s="1" t="s">
        <v>214</v>
      </c>
      <c r="B13" s="1" t="s">
        <v>215</v>
      </c>
      <c r="C13" s="9" t="s">
        <v>216</v>
      </c>
      <c r="D13" s="1"/>
      <c r="E13" s="11"/>
    </row>
    <row r="14" spans="1:5">
      <c r="A14" s="2" t="s">
        <v>217</v>
      </c>
      <c r="B14" s="1" t="s">
        <v>218</v>
      </c>
      <c r="C14" s="9" t="s">
        <v>219</v>
      </c>
      <c r="D14" s="1"/>
      <c r="E14" s="11"/>
    </row>
    <row r="15" spans="1:5" ht="15.75">
      <c r="A15" s="94" t="s">
        <v>220</v>
      </c>
      <c r="B15" s="92"/>
      <c r="C15" s="92"/>
      <c r="D15" s="92"/>
      <c r="E15" s="95"/>
    </row>
    <row r="16" spans="1:5" ht="15.75">
      <c r="A16" s="17" t="s">
        <v>197</v>
      </c>
      <c r="B16" s="17" t="s">
        <v>198</v>
      </c>
      <c r="C16" s="18" t="s">
        <v>199</v>
      </c>
      <c r="D16" s="17" t="s">
        <v>200</v>
      </c>
      <c r="E16" s="17" t="s">
        <v>221</v>
      </c>
    </row>
    <row r="17" spans="1:5">
      <c r="A17" s="13" t="s">
        <v>222</v>
      </c>
      <c r="B17" s="13" t="s">
        <v>223</v>
      </c>
      <c r="C17" t="s">
        <v>224</v>
      </c>
      <c r="D17" s="15" t="s">
        <v>225</v>
      </c>
      <c r="E17" s="16">
        <v>298</v>
      </c>
    </row>
    <row r="18" spans="1:5">
      <c r="A18" s="13"/>
      <c r="B18" s="13"/>
      <c r="C18" s="14"/>
      <c r="D18" s="15"/>
      <c r="E18" s="16"/>
    </row>
    <row r="19" spans="1:5">
      <c r="A19" s="13"/>
      <c r="B19" s="13"/>
      <c r="C19" s="14"/>
      <c r="D19" s="15"/>
      <c r="E19" s="16"/>
    </row>
    <row r="20" spans="1:5">
      <c r="A20" s="13"/>
      <c r="B20" s="2"/>
      <c r="C20" s="14"/>
      <c r="D20" s="15"/>
      <c r="E20" s="16"/>
    </row>
    <row r="21" spans="1:5">
      <c r="A21" s="13"/>
      <c r="B21" s="2"/>
      <c r="C21" s="14"/>
      <c r="D21" s="15"/>
      <c r="E21" s="16"/>
    </row>
  </sheetData>
  <mergeCells count="9">
    <mergeCell ref="A5:C5"/>
    <mergeCell ref="A6:C6"/>
    <mergeCell ref="A7:E7"/>
    <mergeCell ref="A15:E15"/>
    <mergeCell ref="A1:C1"/>
    <mergeCell ref="A2:C2"/>
    <mergeCell ref="A3:C3"/>
    <mergeCell ref="A4:C4"/>
    <mergeCell ref="D1:E6"/>
  </mergeCells>
  <hyperlinks>
    <hyperlink ref="C16" r:id="rId1" display="mailto:kgriffith@datamatx.com" xr:uid="{00000000-0004-0000-0100-000000000000}"/>
  </hyperlinks>
  <pageMargins left="0.125" right="0.125" top="0.125" bottom="0.375" header="0.19" footer="0.17"/>
  <pageSetup paperSize="5" orientation="landscape" verticalDpi="599" r:id="rId2"/>
  <headerFooter>
    <oddFooter>&amp;RDoc ID: DX_0066 / VZ: 06-08-21 / STD(s): CS3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D2CE567010B4A9A8F95CF74721090" ma:contentTypeVersion="21" ma:contentTypeDescription="Create a new document." ma:contentTypeScope="" ma:versionID="cd0ac78d3832630bd5f875d19169053f">
  <xsd:schema xmlns:xsd="http://www.w3.org/2001/XMLSchema" xmlns:xs="http://www.w3.org/2001/XMLSchema" xmlns:p="http://schemas.microsoft.com/office/2006/metadata/properties" xmlns:ns1="http://schemas.microsoft.com/sharepoint/v3" xmlns:ns2="e856741d-71bf-4b60-955c-0dcd4a6f9b71" xmlns:ns3="707a01bb-37c8-4b6b-80a4-0c27b94f3f41" targetNamespace="http://schemas.microsoft.com/office/2006/metadata/properties" ma:root="true" ma:fieldsID="3b893dd0d9d3d8ef91af4fe57ca1efa5" ns1:_="" ns2:_="" ns3:_="">
    <xsd:import namespace="http://schemas.microsoft.com/sharepoint/v3"/>
    <xsd:import namespace="e856741d-71bf-4b60-955c-0dcd4a6f9b71"/>
    <xsd:import namespace="707a01bb-37c8-4b6b-80a4-0c27b94f3f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6741d-71bf-4b60-955c-0dcd4a6f9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7d9aad-f056-4918-99c8-815e543b35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21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2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3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4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a01bb-37c8-4b6b-80a4-0c27b94f3f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e5224a-4501-4b22-aaba-9af7a223dd32}" ma:internalName="TaxCatchAll" ma:showField="CatchAllData" ma:web="707a01bb-37c8-4b6b-80a4-0c27b94f3f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07a01bb-37c8-4b6b-80a4-0c27b94f3f41" xsi:nil="true"/>
    <lcf76f155ced4ddcb4097134ff3c332f xmlns="e856741d-71bf-4b60-955c-0dcd4a6f9b71">
      <Terms xmlns="http://schemas.microsoft.com/office/infopath/2007/PartnerControls"/>
    </lcf76f155ced4ddcb4097134ff3c332f>
    <_ApprovalAssignedTo xmlns="e856741d-71bf-4b60-955c-0dcd4a6f9b71">
      <UserInfo>
        <DisplayName/>
        <AccountId xsi:nil="true"/>
        <AccountType/>
      </UserInfo>
    </_ApprovalAssignedTo>
    <_ApprovalRespondedBy xmlns="e856741d-71bf-4b60-955c-0dcd4a6f9b71">
      <UserInfo>
        <DisplayName/>
        <AccountId xsi:nil="true"/>
        <AccountType/>
      </UserInfo>
    </_ApprovalRespondedBy>
    <_ApprovalStatus xmlns="e856741d-71bf-4b60-955c-0dcd4a6f9b71">0</_ApprovalStatus>
    <_ApprovalSentBy xmlns="e856741d-71bf-4b60-955c-0dcd4a6f9b71">
      <UserInfo>
        <DisplayName/>
        <AccountId xsi:nil="true"/>
        <AccountType/>
      </UserInfo>
    </_ApprovalSent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6E99FE-9379-4E00-9267-176362EA9508}"/>
</file>

<file path=customXml/itemProps2.xml><?xml version="1.0" encoding="utf-8"?>
<ds:datastoreItem xmlns:ds="http://schemas.openxmlformats.org/officeDocument/2006/customXml" ds:itemID="{3CA8E9A2-F3EE-44C0-A441-9034B08CDB6C}"/>
</file>

<file path=customXml/itemProps3.xml><?xml version="1.0" encoding="utf-8"?>
<ds:datastoreItem xmlns:ds="http://schemas.openxmlformats.org/officeDocument/2006/customXml" ds:itemID="{4A791F90-766D-4BE9-A464-4CACDE6A3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Griffith, Katherine</dc:creator>
  <cp:keywords/>
  <dc:description/>
  <cp:lastModifiedBy/>
  <cp:revision/>
  <dcterms:created xsi:type="dcterms:W3CDTF">2014-10-17T19:43:04Z</dcterms:created>
  <dcterms:modified xsi:type="dcterms:W3CDTF">2025-12-01T16:52:11Z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1a5fa7-3fc1-45fb-bbfa-ce503cb409ac_Enabled">
    <vt:lpwstr>true</vt:lpwstr>
  </property>
  <property fmtid="{D5CDD505-2E9C-101B-9397-08002B2CF9AE}" pid="3" name="MSIP_Label_211a5fa7-3fc1-45fb-bbfa-ce503cb409ac_SetDate">
    <vt:lpwstr>2025-11-10T16:08:00Z</vt:lpwstr>
  </property>
  <property fmtid="{D5CDD505-2E9C-101B-9397-08002B2CF9AE}" pid="4" name="MSIP_Label_211a5fa7-3fc1-45fb-bbfa-ce503cb409ac_Method">
    <vt:lpwstr>Privileged</vt:lpwstr>
  </property>
  <property fmtid="{D5CDD505-2E9C-101B-9397-08002B2CF9AE}" pid="5" name="MSIP_Label_211a5fa7-3fc1-45fb-bbfa-ce503cb409ac_Name">
    <vt:lpwstr>Public</vt:lpwstr>
  </property>
  <property fmtid="{D5CDD505-2E9C-101B-9397-08002B2CF9AE}" pid="6" name="MSIP_Label_211a5fa7-3fc1-45fb-bbfa-ce503cb409ac_SiteId">
    <vt:lpwstr>2e8e4999-f09e-4bd6-89cd-585f1d9f1ec3</vt:lpwstr>
  </property>
  <property fmtid="{D5CDD505-2E9C-101B-9397-08002B2CF9AE}" pid="7" name="MSIP_Label_211a5fa7-3fc1-45fb-bbfa-ce503cb409ac_ActionId">
    <vt:lpwstr>5f7c3f2a-0482-4b37-a18e-4404e6a42426</vt:lpwstr>
  </property>
  <property fmtid="{D5CDD505-2E9C-101B-9397-08002B2CF9AE}" pid="8" name="MSIP_Label_211a5fa7-3fc1-45fb-bbfa-ce503cb409ac_ContentBits">
    <vt:lpwstr>0</vt:lpwstr>
  </property>
  <property fmtid="{D5CDD505-2E9C-101B-9397-08002B2CF9AE}" pid="9" name="MSIP_Label_211a5fa7-3fc1-45fb-bbfa-ce503cb409ac_Tag">
    <vt:lpwstr>10, 0, 1, 1</vt:lpwstr>
  </property>
  <property fmtid="{D5CDD505-2E9C-101B-9397-08002B2CF9AE}" pid="10" name="ContentTypeId">
    <vt:lpwstr>0x010100DBFD2CE567010B4A9A8F95CF74721090</vt:lpwstr>
  </property>
  <property fmtid="{D5CDD505-2E9C-101B-9397-08002B2CF9AE}" pid="11" name="MediaServiceImageTags">
    <vt:lpwstr/>
  </property>
</Properties>
</file>